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sni\Downloads\"/>
    </mc:Choice>
  </mc:AlternateContent>
  <xr:revisionPtr revIDLastSave="0" documentId="8_{5D482154-4687-473C-8078-7D68738EFA65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Feasibility Report 1" sheetId="3" state="hidden" r:id="rId1"/>
    <sheet name="Domestik" sheetId="1" r:id="rId2"/>
  </sheets>
  <definedNames>
    <definedName name="solver_adj" localSheetId="1" hidden="1">Domestik!$B$19:$C$22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Domestik!$B$28</definedName>
    <definedName name="solver_lhs10" localSheetId="1" hidden="1">Domestik!$E$21</definedName>
    <definedName name="solver_lhs11" localSheetId="1" hidden="1">Domestik!$C$21</definedName>
    <definedName name="solver_lhs12" localSheetId="1" hidden="1">Domestik!$C$22</definedName>
    <definedName name="solver_lhs13" localSheetId="1" hidden="1">Domestik!$C$28</definedName>
    <definedName name="solver_lhs14" localSheetId="1" hidden="1">Domestik!$D$19</definedName>
    <definedName name="solver_lhs15" localSheetId="1" hidden="1">Domestik!$D$20</definedName>
    <definedName name="solver_lhs16" localSheetId="1" hidden="1">Domestik!$D$21</definedName>
    <definedName name="solver_lhs17" localSheetId="1" hidden="1">Domestik!$D$22</definedName>
    <definedName name="solver_lhs2" localSheetId="1" hidden="1">Domestik!$C$28</definedName>
    <definedName name="solver_lhs3" localSheetId="1" hidden="1">Domestik!$E$19</definedName>
    <definedName name="solver_lhs4" localSheetId="1" hidden="1">Domestik!$E$21</definedName>
    <definedName name="solver_lhs5" localSheetId="1" hidden="1">Domestik!$E$21</definedName>
    <definedName name="solver_lhs6" localSheetId="1" hidden="1">Domestik!$E$21</definedName>
    <definedName name="solver_lhs7" localSheetId="1" hidden="1">Domestik!$E$21</definedName>
    <definedName name="solver_lhs8" localSheetId="1" hidden="1">Domestik!$E$21</definedName>
    <definedName name="solver_lhs9" localSheetId="1" hidden="1">Domestik!$E$21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4</definedName>
    <definedName name="solver_nwt" localSheetId="1" hidden="1">1</definedName>
    <definedName name="solver_opt" localSheetId="1" hidden="1">Domestik!$B$31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10" localSheetId="1" hidden="1">1</definedName>
    <definedName name="solver_rel11" localSheetId="1" hidden="1">2</definedName>
    <definedName name="solver_rel12" localSheetId="1" hidden="1">2</definedName>
    <definedName name="solver_rel13" localSheetId="1" hidden="1">2</definedName>
    <definedName name="solver_rel14" localSheetId="1" hidden="1">1</definedName>
    <definedName name="solver_rel15" localSheetId="1" hidden="1">1</definedName>
    <definedName name="solver_rel16" localSheetId="1" hidden="1">1</definedName>
    <definedName name="solver_rel17" localSheetId="1" hidden="1">1</definedName>
    <definedName name="solver_rel2" localSheetId="1" hidden="1">2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el7" localSheetId="1" hidden="1">1</definedName>
    <definedName name="solver_rel8" localSheetId="1" hidden="1">1</definedName>
    <definedName name="solver_rel9" localSheetId="1" hidden="1">1</definedName>
    <definedName name="solver_rhs1" localSheetId="1" hidden="1">60</definedName>
    <definedName name="solver_rhs10" localSheetId="1" hidden="1">Domestik!$D$12</definedName>
    <definedName name="solver_rhs11" localSheetId="1" hidden="1">Domestik!$B$13</definedName>
    <definedName name="solver_rhs12" localSheetId="1" hidden="1">Domestik!$C$13</definedName>
    <definedName name="solver_rhs13" localSheetId="1" hidden="1">40</definedName>
    <definedName name="solver_rhs14" localSheetId="1" hidden="1">Domestik!$D$11</definedName>
    <definedName name="solver_rhs15" localSheetId="1" hidden="1">Domestik!$D$11</definedName>
    <definedName name="solver_rhs16" localSheetId="1" hidden="1">Domestik!$D$12</definedName>
    <definedName name="solver_rhs17" localSheetId="1" hidden="1">Domestik!$D$12</definedName>
    <definedName name="solver_rhs2" localSheetId="1" hidden="1">40</definedName>
    <definedName name="solver_rhs3" localSheetId="1" hidden="1">Domestik!$D$11</definedName>
    <definedName name="solver_rhs4" localSheetId="1" hidden="1">Domestik!$D$12</definedName>
    <definedName name="solver_rhs5" localSheetId="1" hidden="1">Domestik!$D$12</definedName>
    <definedName name="solver_rhs6" localSheetId="1" hidden="1">Domestik!$D$12</definedName>
    <definedName name="solver_rhs7" localSheetId="1" hidden="1">Domestik!$D$12</definedName>
    <definedName name="solver_rhs8" localSheetId="1" hidden="1">Domestik!$D$12</definedName>
    <definedName name="solver_rhs9" localSheetId="1" hidden="1">Domestik!$D$12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B28" i="1"/>
  <c r="B31" i="1"/>
  <c r="D20" i="1"/>
  <c r="D21" i="1"/>
  <c r="D22" i="1"/>
  <c r="D19" i="1"/>
  <c r="E19" i="1" l="1"/>
  <c r="E21" i="1"/>
</calcChain>
</file>

<file path=xl/sharedStrings.xml><?xml version="1.0" encoding="utf-8"?>
<sst xmlns="http://schemas.openxmlformats.org/spreadsheetml/2006/main" count="62" uniqueCount="55">
  <si>
    <t>MODEL SIMPLEX PENGIRIMAN LAUT - DOMESTIK</t>
  </si>
  <si>
    <t>Biaya per km</t>
  </si>
  <si>
    <t>TOTAL BIAYA</t>
  </si>
  <si>
    <t>Biaya pelabuhan</t>
  </si>
  <si>
    <t>Keterangan</t>
  </si>
  <si>
    <t>Ukuran Kontainer 20ft</t>
  </si>
  <si>
    <t>Ukuran Kontainer 40ft</t>
  </si>
  <si>
    <t xml:space="preserve">Pelabuhan Asal </t>
  </si>
  <si>
    <t>PELABUHAN ASAL &amp; TUJUAN ,SUPPLY -DEMAND</t>
  </si>
  <si>
    <t xml:space="preserve"> (Ke Tj. Priok)</t>
  </si>
  <si>
    <t>(Ke Tj. Perak)</t>
  </si>
  <si>
    <t xml:space="preserve"> (Supply)</t>
  </si>
  <si>
    <t xml:space="preserve"> (Makassar)</t>
  </si>
  <si>
    <t>(Balikpapan)</t>
  </si>
  <si>
    <t xml:space="preserve"> (Demand)</t>
  </si>
  <si>
    <t xml:space="preserve"> (LHS Supply)</t>
  </si>
  <si>
    <t xml:space="preserve"> (Rute)</t>
  </si>
  <si>
    <t>Microsoft Excel 16.0 Feasibility Report</t>
  </si>
  <si>
    <t>Worksheet: [model_simplex_domestik husni.xlsx]Domestik</t>
  </si>
  <si>
    <t>Report Created: 07/01/2026 05:26:41</t>
  </si>
  <si>
    <t>Constraints Which Make the Problem Infeasible</t>
  </si>
  <si>
    <t>Cell</t>
  </si>
  <si>
    <t>Name</t>
  </si>
  <si>
    <t>Cell Value</t>
  </si>
  <si>
    <t>Formula</t>
  </si>
  <si>
    <t>Status</t>
  </si>
  <si>
    <t>Slack</t>
  </si>
  <si>
    <t>$D$22</t>
  </si>
  <si>
    <t>22 (Balikpapan → Perak)  (LHS Supply)</t>
  </si>
  <si>
    <t>$D$22&lt;=$D$12</t>
  </si>
  <si>
    <t>Violated</t>
  </si>
  <si>
    <t>$B$19</t>
  </si>
  <si>
    <t>19 (Makassar → Priok) Ukuran Kontainer 20ft</t>
  </si>
  <si>
    <t>$B$19=$B$13</t>
  </si>
  <si>
    <t>$B$20</t>
  </si>
  <si>
    <t>20 (Makassar → Perak) Ukuran Kontainer 20ft</t>
  </si>
  <si>
    <t>$B$20=$C$13</t>
  </si>
  <si>
    <t>$B$21</t>
  </si>
  <si>
    <t>21 (Balikpapan → Priok) Ukuran Kontainer 20ft</t>
  </si>
  <si>
    <t>$B$21=$B$13</t>
  </si>
  <si>
    <t>$B$22</t>
  </si>
  <si>
    <t>22 (Balikpapan → Perak) Ukuran Kontainer 20ft</t>
  </si>
  <si>
    <t>$B$22=$C$13</t>
  </si>
  <si>
    <t>$C$19</t>
  </si>
  <si>
    <t>19 (Makassar → Priok) Ukuran Kontainer 40ft</t>
  </si>
  <si>
    <t>$C$19=$B$13</t>
  </si>
  <si>
    <t>LHS TOTAL</t>
  </si>
  <si>
    <t xml:space="preserve"> (LHS Demand)</t>
  </si>
  <si>
    <t xml:space="preserve"> (Balikpapan → Perak)</t>
  </si>
  <si>
    <t xml:space="preserve"> (Balikpapan → Priok)</t>
  </si>
  <si>
    <t xml:space="preserve"> (Makassar → Perak)</t>
  </si>
  <si>
    <t xml:space="preserve"> (Makassar → Priok)</t>
  </si>
  <si>
    <t>PRIOK</t>
  </si>
  <si>
    <t>PERAK</t>
  </si>
  <si>
    <t>RUTE &amp;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</si>
</sst>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8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i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Border="1"/>
    <xf numFmtId="44" fontId="0" fillId="0" borderId="0" xfId="1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0" fillId="0" borderId="0" xfId="0" applyNumberFormat="1"/>
    <xf numFmtId="0" fontId="3" fillId="0" borderId="0" xfId="0" applyFont="1" applyBorder="1"/>
    <xf numFmtId="44" fontId="4" fillId="0" borderId="1" xfId="1" applyFont="1" applyBorder="1" applyAlignment="1">
      <alignment horizontal="right"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right" wrapText="1"/>
    </xf>
    <xf numFmtId="0" fontId="2" fillId="0" borderId="0" xfId="0" applyFont="1"/>
    <xf numFmtId="0" fontId="5" fillId="0" borderId="0" xfId="0" applyFont="1"/>
    <xf numFmtId="0" fontId="6" fillId="0" borderId="1" xfId="0" applyFont="1" applyBorder="1" applyAlignment="1">
      <alignment wrapText="1"/>
    </xf>
    <xf numFmtId="0" fontId="7" fillId="0" borderId="0" xfId="0" applyFont="1" applyBorder="1" applyAlignment="1">
      <alignment horizontal="left"/>
    </xf>
    <xf numFmtId="0" fontId="8" fillId="0" borderId="2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6" fillId="0" borderId="0" xfId="0" applyFont="1" applyBorder="1" applyAlignment="1">
      <alignment horizontal="center" vertical="center" wrapText="1"/>
    </xf>
    <xf numFmtId="44" fontId="0" fillId="0" borderId="1" xfId="0" applyNumberFormat="1" applyBorder="1"/>
    <xf numFmtId="0" fontId="6" fillId="0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9" fillId="0" borderId="0" xfId="0" applyFont="1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E628-A4A1-4E29-8515-B11E3CE49584}">
  <dimension ref="A1:G13"/>
  <sheetViews>
    <sheetView showGridLines="0" workbookViewId="0"/>
  </sheetViews>
  <sheetFormatPr defaultRowHeight="14.5" x14ac:dyDescent="0.35"/>
  <cols>
    <col min="1" max="1" width="2.1796875" customWidth="1"/>
    <col min="2" max="2" width="6.08984375" bestFit="1" customWidth="1"/>
    <col min="3" max="3" width="40.54296875" bestFit="1" customWidth="1"/>
    <col min="4" max="4" width="9" bestFit="1" customWidth="1"/>
    <col min="5" max="5" width="13.453125" bestFit="1" customWidth="1"/>
    <col min="6" max="6" width="7.6328125" bestFit="1" customWidth="1"/>
    <col min="7" max="7" width="6.453125" bestFit="1" customWidth="1"/>
  </cols>
  <sheetData>
    <row r="1" spans="1:7" x14ac:dyDescent="0.35">
      <c r="A1" s="10" t="s">
        <v>17</v>
      </c>
    </row>
    <row r="2" spans="1:7" x14ac:dyDescent="0.35">
      <c r="A2" s="10" t="s">
        <v>18</v>
      </c>
    </row>
    <row r="3" spans="1:7" x14ac:dyDescent="0.35">
      <c r="A3" s="10" t="s">
        <v>19</v>
      </c>
    </row>
    <row r="6" spans="1:7" ht="15" thickBot="1" x14ac:dyDescent="0.4">
      <c r="A6" t="s">
        <v>20</v>
      </c>
    </row>
    <row r="7" spans="1:7" ht="15" thickBot="1" x14ac:dyDescent="0.4">
      <c r="B7" s="14" t="s">
        <v>21</v>
      </c>
      <c r="C7" s="14" t="s">
        <v>22</v>
      </c>
      <c r="D7" s="14" t="s">
        <v>23</v>
      </c>
      <c r="E7" s="14" t="s">
        <v>24</v>
      </c>
      <c r="F7" s="14" t="s">
        <v>25</v>
      </c>
      <c r="G7" s="14" t="s">
        <v>26</v>
      </c>
    </row>
    <row r="8" spans="1:7" x14ac:dyDescent="0.35">
      <c r="B8" t="s">
        <v>27</v>
      </c>
      <c r="C8" t="s">
        <v>28</v>
      </c>
      <c r="D8" s="5">
        <v>80</v>
      </c>
      <c r="E8" t="s">
        <v>29</v>
      </c>
      <c r="F8" t="s">
        <v>30</v>
      </c>
      <c r="G8">
        <v>-30</v>
      </c>
    </row>
    <row r="9" spans="1:7" x14ac:dyDescent="0.35">
      <c r="B9" t="s">
        <v>31</v>
      </c>
      <c r="C9" t="s">
        <v>32</v>
      </c>
      <c r="D9" s="5">
        <v>60</v>
      </c>
      <c r="E9" t="s">
        <v>33</v>
      </c>
      <c r="F9" t="s">
        <v>30</v>
      </c>
      <c r="G9">
        <v>-1E+30</v>
      </c>
    </row>
    <row r="10" spans="1:7" x14ac:dyDescent="0.35">
      <c r="B10" t="s">
        <v>34</v>
      </c>
      <c r="C10" t="s">
        <v>35</v>
      </c>
      <c r="D10" s="5">
        <v>40</v>
      </c>
      <c r="E10" t="s">
        <v>36</v>
      </c>
      <c r="F10" t="s">
        <v>30</v>
      </c>
      <c r="G10">
        <v>-1E+30</v>
      </c>
    </row>
    <row r="11" spans="1:7" x14ac:dyDescent="0.35">
      <c r="B11" t="s">
        <v>37</v>
      </c>
      <c r="C11" t="s">
        <v>38</v>
      </c>
      <c r="D11" s="5">
        <v>60</v>
      </c>
      <c r="E11" t="s">
        <v>39</v>
      </c>
      <c r="F11" t="s">
        <v>30</v>
      </c>
      <c r="G11">
        <v>-1E+30</v>
      </c>
    </row>
    <row r="12" spans="1:7" x14ac:dyDescent="0.35">
      <c r="B12" t="s">
        <v>40</v>
      </c>
      <c r="C12" t="s">
        <v>41</v>
      </c>
      <c r="D12" s="5">
        <v>40</v>
      </c>
      <c r="E12" t="s">
        <v>42</v>
      </c>
      <c r="F12" t="s">
        <v>30</v>
      </c>
      <c r="G12">
        <v>-1E+30</v>
      </c>
    </row>
    <row r="13" spans="1:7" x14ac:dyDescent="0.35">
      <c r="B13" t="s">
        <v>43</v>
      </c>
      <c r="C13" t="s">
        <v>44</v>
      </c>
      <c r="D13" s="5">
        <v>60</v>
      </c>
      <c r="E13" t="s">
        <v>45</v>
      </c>
      <c r="F13" t="s">
        <v>30</v>
      </c>
      <c r="G13">
        <v>-1E+30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20" workbookViewId="0">
      <selection activeCell="A25" sqref="A25"/>
    </sheetView>
  </sheetViews>
  <sheetFormatPr defaultRowHeight="14.5" x14ac:dyDescent="0.35"/>
  <cols>
    <col min="1" max="1" width="49.54296875" customWidth="1"/>
    <col min="2" max="4" width="25.26953125" customWidth="1"/>
    <col min="5" max="5" width="24.08984375" customWidth="1"/>
  </cols>
  <sheetData>
    <row r="1" spans="1:5" ht="23.5" x14ac:dyDescent="0.55000000000000004">
      <c r="A1" s="11" t="s">
        <v>0</v>
      </c>
    </row>
    <row r="2" spans="1:5" x14ac:dyDescent="0.35">
      <c r="A2" s="3" t="s">
        <v>4</v>
      </c>
      <c r="B2" s="3" t="s">
        <v>5</v>
      </c>
      <c r="C2" s="3" t="s">
        <v>6</v>
      </c>
    </row>
    <row r="3" spans="1:5" x14ac:dyDescent="0.35">
      <c r="A3" s="3" t="s">
        <v>1</v>
      </c>
      <c r="B3" s="7">
        <v>2500</v>
      </c>
      <c r="C3" s="7">
        <v>4500</v>
      </c>
      <c r="D3" s="2"/>
    </row>
    <row r="4" spans="1:5" x14ac:dyDescent="0.35">
      <c r="A4" s="3" t="s">
        <v>3</v>
      </c>
      <c r="B4" s="7">
        <v>1200000</v>
      </c>
      <c r="C4" s="7">
        <v>2100000</v>
      </c>
      <c r="D4" s="2"/>
    </row>
    <row r="5" spans="1:5" x14ac:dyDescent="0.35">
      <c r="A5" s="6"/>
      <c r="B5" s="2"/>
      <c r="C5" s="2"/>
      <c r="D5" s="2"/>
    </row>
    <row r="6" spans="1:5" x14ac:dyDescent="0.35">
      <c r="A6" s="1"/>
      <c r="B6" s="2"/>
      <c r="C6" s="2"/>
      <c r="D6" s="2"/>
    </row>
    <row r="7" spans="1:5" ht="23.5" x14ac:dyDescent="0.55000000000000004">
      <c r="A7" s="13" t="s">
        <v>8</v>
      </c>
      <c r="B7" s="13"/>
      <c r="C7" s="13"/>
      <c r="D7" s="13"/>
    </row>
    <row r="9" spans="1:5" x14ac:dyDescent="0.35">
      <c r="A9" s="8"/>
      <c r="B9" s="8"/>
      <c r="C9" s="8"/>
      <c r="D9" s="8"/>
    </row>
    <row r="10" spans="1:5" x14ac:dyDescent="0.35">
      <c r="A10" s="12" t="s">
        <v>7</v>
      </c>
      <c r="B10" s="12" t="s">
        <v>9</v>
      </c>
      <c r="C10" s="12" t="s">
        <v>10</v>
      </c>
      <c r="D10" s="12" t="s">
        <v>11</v>
      </c>
    </row>
    <row r="11" spans="1:5" x14ac:dyDescent="0.35">
      <c r="A11" s="3" t="s">
        <v>12</v>
      </c>
      <c r="B11" s="4">
        <v>1400</v>
      </c>
      <c r="C11" s="4">
        <v>900</v>
      </c>
      <c r="D11" s="4">
        <v>70</v>
      </c>
    </row>
    <row r="12" spans="1:5" x14ac:dyDescent="0.35">
      <c r="A12" s="3" t="s">
        <v>13</v>
      </c>
      <c r="B12" s="4">
        <v>780</v>
      </c>
      <c r="C12" s="4">
        <v>400</v>
      </c>
      <c r="D12" s="4">
        <v>50</v>
      </c>
      <c r="E12" s="1"/>
    </row>
    <row r="13" spans="1:5" x14ac:dyDescent="0.35">
      <c r="A13" s="3" t="s">
        <v>14</v>
      </c>
      <c r="B13" s="4">
        <v>60</v>
      </c>
      <c r="C13" s="4">
        <v>40</v>
      </c>
      <c r="D13" s="3"/>
      <c r="E13" s="1"/>
    </row>
    <row r="15" spans="1:5" x14ac:dyDescent="0.35">
      <c r="A15" s="8"/>
      <c r="B15" s="8"/>
      <c r="C15" s="8"/>
      <c r="D15" s="8"/>
    </row>
    <row r="16" spans="1:5" ht="22.5" x14ac:dyDescent="0.35">
      <c r="A16" s="22" t="s">
        <v>54</v>
      </c>
      <c r="B16" s="22"/>
      <c r="C16" s="22"/>
      <c r="D16" s="22"/>
      <c r="E16" s="22"/>
    </row>
    <row r="17" spans="1:5" x14ac:dyDescent="0.35">
      <c r="A17" s="8"/>
      <c r="B17" s="8"/>
      <c r="C17" s="8"/>
      <c r="D17" s="8"/>
    </row>
    <row r="18" spans="1:5" x14ac:dyDescent="0.35">
      <c r="A18" s="12" t="s">
        <v>16</v>
      </c>
      <c r="B18" s="12" t="s">
        <v>5</v>
      </c>
      <c r="C18" s="12" t="s">
        <v>6</v>
      </c>
      <c r="D18" s="12" t="s">
        <v>15</v>
      </c>
      <c r="E18" s="20" t="s">
        <v>46</v>
      </c>
    </row>
    <row r="19" spans="1:5" x14ac:dyDescent="0.35">
      <c r="A19" s="3" t="s">
        <v>51</v>
      </c>
      <c r="B19" s="4">
        <v>10</v>
      </c>
      <c r="C19" s="4">
        <v>0</v>
      </c>
      <c r="D19" s="4">
        <f>B19+C19</f>
        <v>10</v>
      </c>
      <c r="E19" s="21">
        <f>D19+D20</f>
        <v>50</v>
      </c>
    </row>
    <row r="20" spans="1:5" x14ac:dyDescent="0.35">
      <c r="A20" s="3" t="s">
        <v>50</v>
      </c>
      <c r="B20" s="4">
        <v>40</v>
      </c>
      <c r="C20" s="4">
        <v>0</v>
      </c>
      <c r="D20" s="4">
        <f t="shared" ref="D20:D22" si="0">B20+C20</f>
        <v>40</v>
      </c>
      <c r="E20" s="21"/>
    </row>
    <row r="21" spans="1:5" x14ac:dyDescent="0.35">
      <c r="A21" s="3" t="s">
        <v>49</v>
      </c>
      <c r="B21" s="4">
        <v>50</v>
      </c>
      <c r="C21" s="4">
        <v>0</v>
      </c>
      <c r="D21" s="4">
        <f t="shared" si="0"/>
        <v>50</v>
      </c>
      <c r="E21" s="21">
        <f>D21+D22</f>
        <v>50</v>
      </c>
    </row>
    <row r="22" spans="1:5" x14ac:dyDescent="0.35">
      <c r="A22" s="3" t="s">
        <v>48</v>
      </c>
      <c r="B22" s="4">
        <v>0</v>
      </c>
      <c r="C22" s="4">
        <v>0</v>
      </c>
      <c r="D22" s="4">
        <f t="shared" si="0"/>
        <v>0</v>
      </c>
      <c r="E22" s="21"/>
    </row>
    <row r="26" spans="1:5" x14ac:dyDescent="0.35">
      <c r="A26" s="8"/>
      <c r="B26" s="9"/>
      <c r="C26" s="9"/>
      <c r="D26" s="9"/>
      <c r="E26" s="15"/>
    </row>
    <row r="27" spans="1:5" x14ac:dyDescent="0.35">
      <c r="A27" s="16" t="s">
        <v>47</v>
      </c>
      <c r="B27" s="17" t="s">
        <v>52</v>
      </c>
      <c r="C27" s="17" t="s">
        <v>53</v>
      </c>
      <c r="D27" s="9"/>
      <c r="E27" s="15"/>
    </row>
    <row r="28" spans="1:5" x14ac:dyDescent="0.35">
      <c r="A28" s="16"/>
      <c r="B28" s="4">
        <f>B19+C19+B21+C21</f>
        <v>60</v>
      </c>
      <c r="C28" s="4">
        <f>B20+C20+B22+C22</f>
        <v>40</v>
      </c>
      <c r="D28" s="8"/>
    </row>
    <row r="29" spans="1:5" x14ac:dyDescent="0.35">
      <c r="A29" s="18"/>
      <c r="B29" s="9"/>
      <c r="C29" s="9"/>
      <c r="D29" s="8"/>
    </row>
    <row r="30" spans="1:5" x14ac:dyDescent="0.35">
      <c r="A30" s="18"/>
      <c r="B30" s="9"/>
      <c r="C30" s="9"/>
      <c r="D30" s="8"/>
    </row>
    <row r="31" spans="1:5" x14ac:dyDescent="0.35">
      <c r="A31" s="20" t="s">
        <v>2</v>
      </c>
      <c r="B31" s="19">
        <f>( (B19*$B$11 + B20*$C$11 + B21*$B$12 + B22*$C$12)*$B$3 + (SUM(B19:B22)*$B$4) ) + ( (C19*$B$11 + C20*$C$11 + C21*$B$12 + C22*$C$12)*$C$3 + (SUM(C19:C22)*$C$4) )</f>
        <v>342500000</v>
      </c>
    </row>
  </sheetData>
  <mergeCells count="5">
    <mergeCell ref="A7:D7"/>
    <mergeCell ref="E19:E20"/>
    <mergeCell ref="E21:E22"/>
    <mergeCell ref="A27:A28"/>
    <mergeCell ref="A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Feasibility Report 1</vt:lpstr>
      <vt:lpstr>Domestik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Husni -</cp:lastModifiedBy>
  <dcterms:created xsi:type="dcterms:W3CDTF">2026-01-06T13:28:40Z</dcterms:created>
  <dcterms:modified xsi:type="dcterms:W3CDTF">2026-01-06T22:50:46Z</dcterms:modified>
</cp:coreProperties>
</file>